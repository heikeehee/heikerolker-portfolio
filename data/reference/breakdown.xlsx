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b-my.sharepoint.com/personal/vk20281_bristol_ac_uk/Documents/03_MFA/Tanzania/wave4/2_data/reference/"/>
    </mc:Choice>
  </mc:AlternateContent>
  <xr:revisionPtr revIDLastSave="55" documentId="8_{454405EB-504D-2D4D-93F3-8442C1200150}" xr6:coauthVersionLast="47" xr6:coauthVersionMax="47" xr10:uidLastSave="{257D78A4-D5AB-A045-A987-D52352C4882D}"/>
  <bookViews>
    <workbookView xWindow="0" yWindow="500" windowWidth="20620" windowHeight="21900" activeTab="1" xr2:uid="{42833598-8351-AC4B-9D4E-23C7EC92B938}"/>
  </bookViews>
  <sheets>
    <sheet name="Sheet1" sheetId="1" r:id="rId1"/>
    <sheet name="conv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5" i="1" l="1"/>
  <c r="F10" i="1"/>
  <c r="L23" i="1"/>
  <c r="L7" i="1"/>
  <c r="E10" i="1"/>
  <c r="I24" i="1"/>
  <c r="I17" i="1"/>
  <c r="C10" i="1"/>
  <c r="D10" i="1"/>
  <c r="B10" i="1"/>
</calcChain>
</file>

<file path=xl/sharedStrings.xml><?xml version="1.0" encoding="utf-8"?>
<sst xmlns="http://schemas.openxmlformats.org/spreadsheetml/2006/main" count="99" uniqueCount="74">
  <si>
    <t>Kg/kg lw</t>
  </si>
  <si>
    <t>Pig</t>
  </si>
  <si>
    <t>Broiler</t>
  </si>
  <si>
    <t>Beef</t>
  </si>
  <si>
    <t>Carcass</t>
  </si>
  <si>
    <t>Raw meat</t>
  </si>
  <si>
    <t>Bone meal</t>
  </si>
  <si>
    <t>Offals</t>
  </si>
  <si>
    <t>Fat</t>
  </si>
  <si>
    <t>Feather meal/hides</t>
  </si>
  <si>
    <t>Sum</t>
  </si>
  <si>
    <t>Bloodmeal</t>
  </si>
  <si>
    <t>Meat &amp; bonemeal</t>
  </si>
  <si>
    <t>Note</t>
  </si>
  <si>
    <t>beefguide</t>
  </si>
  <si>
    <t>Lamb</t>
  </si>
  <si>
    <t>fat included in bone meal</t>
  </si>
  <si>
    <t>Bone/fat/drip loss</t>
  </si>
  <si>
    <t>kkcf</t>
  </si>
  <si>
    <t>caul fat</t>
  </si>
  <si>
    <t>intestinal fat</t>
  </si>
  <si>
    <t>kidneys</t>
  </si>
  <si>
    <t>liver</t>
  </si>
  <si>
    <t>skirt</t>
  </si>
  <si>
    <t>heart</t>
  </si>
  <si>
    <t>stomachs</t>
  </si>
  <si>
    <t>intestines</t>
  </si>
  <si>
    <t>feet</t>
  </si>
  <si>
    <t>tail</t>
  </si>
  <si>
    <t>rep orgs</t>
  </si>
  <si>
    <t xml:space="preserve">head </t>
  </si>
  <si>
    <t xml:space="preserve">lungs </t>
  </si>
  <si>
    <t>all waste?</t>
  </si>
  <si>
    <t>pancreas</t>
  </si>
  <si>
    <t>trim</t>
  </si>
  <si>
    <t>gut content</t>
  </si>
  <si>
    <t>illeum</t>
  </si>
  <si>
    <t>spleen</t>
  </si>
  <si>
    <t>Beef alt</t>
  </si>
  <si>
    <t>LAMB</t>
  </si>
  <si>
    <t>lung fat</t>
  </si>
  <si>
    <t>cod fat</t>
  </si>
  <si>
    <t>tongue</t>
  </si>
  <si>
    <t>head</t>
  </si>
  <si>
    <t>lips</t>
  </si>
  <si>
    <t>stomach</t>
  </si>
  <si>
    <t>lungs</t>
  </si>
  <si>
    <t>trachea</t>
  </si>
  <si>
    <t>pizzle</t>
  </si>
  <si>
    <t>oesaphagus</t>
  </si>
  <si>
    <t>sweetbreads</t>
  </si>
  <si>
    <t>Other</t>
  </si>
  <si>
    <t>spleen &amp; pancreas</t>
  </si>
  <si>
    <t>gall bladder</t>
  </si>
  <si>
    <t>ears</t>
  </si>
  <si>
    <t>mandible</t>
  </si>
  <si>
    <t>remainder</t>
  </si>
  <si>
    <t>gut &amp; content</t>
  </si>
  <si>
    <t>remainder ead</t>
  </si>
  <si>
    <t>spinal cird</t>
  </si>
  <si>
    <t>intesintal fill</t>
  </si>
  <si>
    <t>Carcase</t>
  </si>
  <si>
    <t>EW_A16</t>
  </si>
  <si>
    <t>FCR_A16</t>
  </si>
  <si>
    <t>source</t>
  </si>
  <si>
    <t>Hal 2020</t>
  </si>
  <si>
    <t>Lamb guide</t>
  </si>
  <si>
    <t>Beef guide</t>
  </si>
  <si>
    <t>type</t>
  </si>
  <si>
    <t>animal</t>
  </si>
  <si>
    <t>poultry</t>
  </si>
  <si>
    <t>large ruminants</t>
  </si>
  <si>
    <t>small ruminants</t>
  </si>
  <si>
    <t>pigs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</si>
</sst>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7" xfId="0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" fillId="0" borderId="0" xfId="0" applyFont="1"/>
    <xf numFmtId="0" fontId="1" fillId="0" borderId="6" xfId="0" applyFont="1" applyBorder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DF207-1B1D-A54C-8ABF-8D48C8026827}">
  <dimension ref="A1:L35"/>
  <sheetViews>
    <sheetView workbookViewId="0">
      <selection activeCell="B2" sqref="B2:F2"/>
    </sheetView>
  </sheetViews>
  <sheetFormatPr baseColWidth="10" defaultRowHeight="16" x14ac:dyDescent="0.2"/>
  <cols>
    <col min="7" max="7" width="23.5" customWidth="1"/>
  </cols>
  <sheetData>
    <row r="1" spans="1:12" ht="18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15</v>
      </c>
      <c r="F1" s="7" t="s">
        <v>38</v>
      </c>
      <c r="G1" s="7" t="s">
        <v>13</v>
      </c>
      <c r="H1" s="7" t="s">
        <v>39</v>
      </c>
      <c r="K1" s="8" t="s">
        <v>3</v>
      </c>
    </row>
    <row r="2" spans="1:12" ht="17" x14ac:dyDescent="0.2">
      <c r="A2" s="3" t="s">
        <v>4</v>
      </c>
      <c r="B2" s="7">
        <v>0.77</v>
      </c>
      <c r="C2" s="7">
        <v>0.72</v>
      </c>
      <c r="D2" s="7">
        <v>0.64</v>
      </c>
      <c r="E2" s="9">
        <v>0.47</v>
      </c>
      <c r="F2" s="3">
        <v>0.53</v>
      </c>
    </row>
    <row r="3" spans="1:12" ht="17" x14ac:dyDescent="0.2">
      <c r="A3" s="4" t="s">
        <v>5</v>
      </c>
      <c r="B3" s="10">
        <v>0.64</v>
      </c>
      <c r="C3" s="10">
        <v>0.47</v>
      </c>
      <c r="D3" s="10">
        <v>0.47</v>
      </c>
      <c r="E3" s="3">
        <v>0.35</v>
      </c>
      <c r="F3" s="10">
        <v>0.4</v>
      </c>
      <c r="H3" t="s">
        <v>18</v>
      </c>
      <c r="I3">
        <v>1.62</v>
      </c>
      <c r="K3" t="s">
        <v>40</v>
      </c>
      <c r="L3">
        <v>0.26</v>
      </c>
    </row>
    <row r="4" spans="1:12" ht="18" thickBot="1" x14ac:dyDescent="0.25">
      <c r="A4" s="5" t="s">
        <v>6</v>
      </c>
      <c r="B4" s="11">
        <v>0.12</v>
      </c>
      <c r="C4" s="11">
        <v>0.23</v>
      </c>
      <c r="D4" s="11">
        <v>0.09</v>
      </c>
      <c r="E4" s="6">
        <v>0.12</v>
      </c>
      <c r="F4" s="10">
        <v>0.13</v>
      </c>
      <c r="G4" t="s">
        <v>17</v>
      </c>
      <c r="H4" t="s">
        <v>19</v>
      </c>
      <c r="I4">
        <v>1.75</v>
      </c>
      <c r="K4" t="s">
        <v>19</v>
      </c>
      <c r="L4">
        <v>2.42</v>
      </c>
    </row>
    <row r="5" spans="1:12" ht="18" thickBot="1" x14ac:dyDescent="0.25">
      <c r="A5" s="6" t="s">
        <v>7</v>
      </c>
      <c r="B5" s="12">
        <v>0.08</v>
      </c>
      <c r="C5" s="12">
        <v>0.05</v>
      </c>
      <c r="D5" s="12">
        <v>0.05</v>
      </c>
      <c r="E5" s="12">
        <v>0.18</v>
      </c>
      <c r="F5" s="7">
        <v>0.09</v>
      </c>
      <c r="H5" t="s">
        <v>20</v>
      </c>
      <c r="I5">
        <v>1.35</v>
      </c>
      <c r="K5" t="s">
        <v>18</v>
      </c>
      <c r="L5">
        <v>1.86</v>
      </c>
    </row>
    <row r="6" spans="1:12" ht="18" thickBot="1" x14ac:dyDescent="0.25">
      <c r="A6" s="6" t="s">
        <v>8</v>
      </c>
      <c r="B6" s="12">
        <v>0.04</v>
      </c>
      <c r="C6" s="12"/>
      <c r="D6" s="12">
        <v>0.11</v>
      </c>
      <c r="E6" s="12">
        <v>0.05</v>
      </c>
      <c r="F6" s="7">
        <v>0.05</v>
      </c>
      <c r="G6" t="s">
        <v>16</v>
      </c>
      <c r="H6" t="s">
        <v>21</v>
      </c>
      <c r="I6">
        <v>0.25</v>
      </c>
      <c r="K6" t="s">
        <v>41</v>
      </c>
      <c r="L6">
        <v>0.75</v>
      </c>
    </row>
    <row r="7" spans="1:12" ht="18" thickBot="1" x14ac:dyDescent="0.25">
      <c r="A7" s="6" t="s">
        <v>11</v>
      </c>
      <c r="B7" s="12">
        <v>0.01</v>
      </c>
      <c r="C7" s="12"/>
      <c r="D7" s="12">
        <v>0.01</v>
      </c>
      <c r="E7" s="12">
        <v>0.05</v>
      </c>
      <c r="F7" s="7">
        <v>0.04</v>
      </c>
      <c r="H7" t="s">
        <v>22</v>
      </c>
      <c r="I7">
        <v>1.72</v>
      </c>
      <c r="L7">
        <f>SUM(L3:L6)</f>
        <v>5.29</v>
      </c>
    </row>
    <row r="8" spans="1:12" ht="35" thickBot="1" x14ac:dyDescent="0.25">
      <c r="A8" s="6" t="s">
        <v>12</v>
      </c>
      <c r="B8" s="12">
        <v>0.06</v>
      </c>
      <c r="C8" s="12">
        <v>0.05</v>
      </c>
      <c r="D8" s="12">
        <v>0.09</v>
      </c>
      <c r="E8" s="12">
        <v>0.14000000000000001</v>
      </c>
      <c r="F8" s="7">
        <v>0.23</v>
      </c>
      <c r="G8" t="s">
        <v>32</v>
      </c>
      <c r="H8" t="s">
        <v>23</v>
      </c>
      <c r="I8">
        <v>0.55000000000000004</v>
      </c>
      <c r="K8" t="s">
        <v>23</v>
      </c>
      <c r="L8">
        <v>0.21</v>
      </c>
    </row>
    <row r="9" spans="1:12" ht="35" thickBot="1" x14ac:dyDescent="0.25">
      <c r="A9" s="6" t="s">
        <v>9</v>
      </c>
      <c r="C9" s="7">
        <v>0.06</v>
      </c>
      <c r="D9" s="14">
        <v>7.0000000000000007E-2</v>
      </c>
      <c r="E9">
        <v>0.11</v>
      </c>
      <c r="F9">
        <v>7.0000000000000007E-2</v>
      </c>
      <c r="G9" s="13" t="s">
        <v>14</v>
      </c>
      <c r="H9" t="s">
        <v>24</v>
      </c>
      <c r="I9">
        <v>0.55000000000000004</v>
      </c>
      <c r="K9" t="s">
        <v>28</v>
      </c>
      <c r="L9">
        <v>0.19</v>
      </c>
    </row>
    <row r="10" spans="1:12" ht="17" x14ac:dyDescent="0.2">
      <c r="A10" s="8" t="s">
        <v>10</v>
      </c>
      <c r="B10">
        <f>SUM(B3:B9)</f>
        <v>0.95</v>
      </c>
      <c r="C10">
        <f t="shared" ref="C10:D10" si="0">SUM(C3:C9)</f>
        <v>0.8600000000000001</v>
      </c>
      <c r="D10">
        <f t="shared" si="0"/>
        <v>0.8899999999999999</v>
      </c>
      <c r="E10">
        <f>SUM(E3:E9)</f>
        <v>1</v>
      </c>
      <c r="F10">
        <f>SUM(F3:F9)</f>
        <v>1.01</v>
      </c>
      <c r="H10" t="s">
        <v>25</v>
      </c>
      <c r="I10">
        <v>2.7</v>
      </c>
      <c r="K10" t="s">
        <v>21</v>
      </c>
      <c r="L10">
        <v>0.19</v>
      </c>
    </row>
    <row r="11" spans="1:12" x14ac:dyDescent="0.2">
      <c r="H11" t="s">
        <v>26</v>
      </c>
      <c r="I11">
        <v>3.22</v>
      </c>
      <c r="K11" t="s">
        <v>24</v>
      </c>
      <c r="L11">
        <v>0.37</v>
      </c>
    </row>
    <row r="12" spans="1:12" x14ac:dyDescent="0.2">
      <c r="H12" t="s">
        <v>27</v>
      </c>
      <c r="I12">
        <v>1.95</v>
      </c>
      <c r="K12" t="s">
        <v>22</v>
      </c>
      <c r="L12">
        <v>1.31</v>
      </c>
    </row>
    <row r="13" spans="1:12" x14ac:dyDescent="0.2">
      <c r="H13" t="s">
        <v>28</v>
      </c>
      <c r="I13">
        <v>0.27</v>
      </c>
      <c r="K13" t="s">
        <v>42</v>
      </c>
      <c r="L13">
        <v>0.37</v>
      </c>
    </row>
    <row r="14" spans="1:12" x14ac:dyDescent="0.2">
      <c r="H14" t="s">
        <v>29</v>
      </c>
      <c r="I14">
        <v>0.35</v>
      </c>
      <c r="K14" t="s">
        <v>43</v>
      </c>
      <c r="L14">
        <v>0.35</v>
      </c>
    </row>
    <row r="15" spans="1:12" x14ac:dyDescent="0.2">
      <c r="H15" t="s">
        <v>30</v>
      </c>
      <c r="I15">
        <v>4.08</v>
      </c>
      <c r="K15" t="s">
        <v>44</v>
      </c>
      <c r="L15">
        <v>0.19</v>
      </c>
    </row>
    <row r="16" spans="1:12" x14ac:dyDescent="0.2">
      <c r="H16" t="s">
        <v>31</v>
      </c>
      <c r="I16">
        <v>2.15</v>
      </c>
      <c r="K16" t="s">
        <v>45</v>
      </c>
      <c r="L16">
        <v>2.61</v>
      </c>
    </row>
    <row r="17" spans="8:12" x14ac:dyDescent="0.2">
      <c r="I17">
        <f>SUM(I6:I16)</f>
        <v>17.79</v>
      </c>
      <c r="K17" t="s">
        <v>27</v>
      </c>
      <c r="L17">
        <v>1.86</v>
      </c>
    </row>
    <row r="18" spans="8:12" x14ac:dyDescent="0.2">
      <c r="K18" t="s">
        <v>46</v>
      </c>
      <c r="L18">
        <v>0.6</v>
      </c>
    </row>
    <row r="19" spans="8:12" x14ac:dyDescent="0.2">
      <c r="H19" t="s">
        <v>33</v>
      </c>
      <c r="I19">
        <v>0.27</v>
      </c>
      <c r="K19" t="s">
        <v>47</v>
      </c>
      <c r="L19">
        <v>0.19</v>
      </c>
    </row>
    <row r="20" spans="8:12" x14ac:dyDescent="0.2">
      <c r="H20" t="s">
        <v>34</v>
      </c>
      <c r="I20">
        <v>1.47</v>
      </c>
      <c r="K20" t="s">
        <v>48</v>
      </c>
      <c r="L20">
        <v>0.22</v>
      </c>
    </row>
    <row r="21" spans="8:12" x14ac:dyDescent="0.2">
      <c r="H21" t="s">
        <v>35</v>
      </c>
      <c r="I21">
        <v>12.13</v>
      </c>
      <c r="K21" t="s">
        <v>49</v>
      </c>
      <c r="L21">
        <v>0.04</v>
      </c>
    </row>
    <row r="22" spans="8:12" x14ac:dyDescent="0.2">
      <c r="H22" t="s">
        <v>36</v>
      </c>
      <c r="I22">
        <v>0.27</v>
      </c>
      <c r="K22" t="s">
        <v>50</v>
      </c>
      <c r="L22">
        <v>0.06</v>
      </c>
    </row>
    <row r="23" spans="8:12" x14ac:dyDescent="0.2">
      <c r="H23" t="s">
        <v>37</v>
      </c>
      <c r="I23">
        <v>0.27</v>
      </c>
      <c r="L23">
        <f>SUM(L8:L22)</f>
        <v>8.76</v>
      </c>
    </row>
    <row r="24" spans="8:12" x14ac:dyDescent="0.2">
      <c r="I24">
        <f>SUM(I19:I23)</f>
        <v>14.41</v>
      </c>
      <c r="K24" t="s">
        <v>51</v>
      </c>
    </row>
    <row r="25" spans="8:12" x14ac:dyDescent="0.2">
      <c r="K25" t="s">
        <v>52</v>
      </c>
      <c r="L25">
        <v>0.21</v>
      </c>
    </row>
    <row r="26" spans="8:12" x14ac:dyDescent="0.2">
      <c r="K26" t="s">
        <v>53</v>
      </c>
      <c r="L26">
        <v>0.09</v>
      </c>
    </row>
    <row r="27" spans="8:12" x14ac:dyDescent="0.2">
      <c r="K27" t="s">
        <v>54</v>
      </c>
      <c r="L27">
        <v>0.21</v>
      </c>
    </row>
    <row r="28" spans="8:12" x14ac:dyDescent="0.2">
      <c r="K28" t="s">
        <v>55</v>
      </c>
      <c r="L28">
        <v>0.26</v>
      </c>
    </row>
    <row r="29" spans="8:12" x14ac:dyDescent="0.2">
      <c r="K29" t="s">
        <v>56</v>
      </c>
      <c r="L29">
        <v>1.21</v>
      </c>
    </row>
    <row r="30" spans="8:12" x14ac:dyDescent="0.2">
      <c r="K30" t="s">
        <v>57</v>
      </c>
      <c r="L30">
        <v>14.33</v>
      </c>
    </row>
    <row r="31" spans="8:12" x14ac:dyDescent="0.2">
      <c r="K31" t="s">
        <v>58</v>
      </c>
      <c r="L31">
        <v>1.1499999999999999</v>
      </c>
    </row>
    <row r="32" spans="8:12" x14ac:dyDescent="0.2">
      <c r="K32" t="s">
        <v>59</v>
      </c>
      <c r="L32">
        <v>0.03</v>
      </c>
    </row>
    <row r="33" spans="11:12" x14ac:dyDescent="0.2">
      <c r="K33" t="s">
        <v>20</v>
      </c>
      <c r="L33">
        <v>2.2400000000000002</v>
      </c>
    </row>
    <row r="34" spans="11:12" x14ac:dyDescent="0.2">
      <c r="K34" t="s">
        <v>60</v>
      </c>
      <c r="L34">
        <v>2.8</v>
      </c>
    </row>
    <row r="35" spans="11:12" x14ac:dyDescent="0.2">
      <c r="L35">
        <f>SUM(L25:L34)</f>
        <v>22.529999999999998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98CD9-19DD-8E43-8123-88AF1B0B199C}">
  <dimension ref="A1:M6"/>
  <sheetViews>
    <sheetView tabSelected="1" workbookViewId="0">
      <selection activeCell="B2" sqref="B2"/>
    </sheetView>
  </sheetViews>
  <sheetFormatPr baseColWidth="10" defaultRowHeight="16" x14ac:dyDescent="0.2"/>
  <cols>
    <col min="2" max="2" width="17" customWidth="1"/>
    <col min="5" max="5" width="13.83203125" customWidth="1"/>
    <col min="8" max="8" width="15.1640625" customWidth="1"/>
    <col min="9" max="9" width="16.83203125" customWidth="1"/>
    <col min="10" max="10" width="17.1640625" customWidth="1"/>
  </cols>
  <sheetData>
    <row r="1" spans="1:13" x14ac:dyDescent="0.2">
      <c r="A1" t="s">
        <v>69</v>
      </c>
      <c r="B1" t="s">
        <v>68</v>
      </c>
      <c r="C1" t="s">
        <v>61</v>
      </c>
      <c r="D1" t="s">
        <v>5</v>
      </c>
      <c r="E1" t="s">
        <v>6</v>
      </c>
      <c r="F1" t="s">
        <v>7</v>
      </c>
      <c r="G1" t="s">
        <v>8</v>
      </c>
      <c r="H1" t="s">
        <v>11</v>
      </c>
      <c r="I1" t="s">
        <v>12</v>
      </c>
      <c r="J1" t="s">
        <v>9</v>
      </c>
      <c r="K1" t="s">
        <v>62</v>
      </c>
      <c r="L1" t="s">
        <v>63</v>
      </c>
      <c r="M1" t="s">
        <v>64</v>
      </c>
    </row>
    <row r="2" spans="1:13" x14ac:dyDescent="0.2">
      <c r="A2" t="s">
        <v>1</v>
      </c>
      <c r="B2" t="s">
        <v>73</v>
      </c>
      <c r="C2">
        <v>0.77</v>
      </c>
      <c r="D2" s="15">
        <v>0.64</v>
      </c>
      <c r="E2" s="15">
        <v>0.12</v>
      </c>
      <c r="F2">
        <v>0.08</v>
      </c>
      <c r="G2">
        <v>0.04</v>
      </c>
      <c r="H2">
        <v>0.01</v>
      </c>
      <c r="I2">
        <v>0.06</v>
      </c>
      <c r="J2">
        <v>0</v>
      </c>
      <c r="K2">
        <v>0.55000000000000004</v>
      </c>
      <c r="L2">
        <v>6.4</v>
      </c>
      <c r="M2" t="s">
        <v>65</v>
      </c>
    </row>
    <row r="3" spans="1:13" x14ac:dyDescent="0.2">
      <c r="A3" t="s">
        <v>2</v>
      </c>
      <c r="B3" t="s">
        <v>70</v>
      </c>
      <c r="C3">
        <v>0.72</v>
      </c>
      <c r="D3" s="15">
        <v>0.47</v>
      </c>
      <c r="E3" s="15">
        <v>0.23</v>
      </c>
      <c r="F3">
        <v>0.05</v>
      </c>
      <c r="G3">
        <v>0</v>
      </c>
      <c r="H3">
        <v>0</v>
      </c>
      <c r="I3">
        <v>0.05</v>
      </c>
      <c r="J3">
        <v>0.06</v>
      </c>
      <c r="K3">
        <v>0.7</v>
      </c>
      <c r="L3">
        <v>3.3</v>
      </c>
      <c r="M3" t="s">
        <v>65</v>
      </c>
    </row>
    <row r="4" spans="1:13" x14ac:dyDescent="0.2">
      <c r="A4" t="s">
        <v>3</v>
      </c>
      <c r="B4" t="s">
        <v>71</v>
      </c>
      <c r="C4">
        <v>0.64</v>
      </c>
      <c r="D4" s="15">
        <v>0.47</v>
      </c>
      <c r="E4" s="15">
        <v>0.09</v>
      </c>
      <c r="F4">
        <v>0.05</v>
      </c>
      <c r="G4">
        <v>0.11</v>
      </c>
      <c r="H4">
        <v>0.01</v>
      </c>
      <c r="I4">
        <v>0.09</v>
      </c>
      <c r="J4">
        <v>7.0000000000000007E-2</v>
      </c>
      <c r="K4">
        <v>0.4</v>
      </c>
      <c r="L4">
        <v>25</v>
      </c>
      <c r="M4" t="s">
        <v>65</v>
      </c>
    </row>
    <row r="5" spans="1:13" x14ac:dyDescent="0.2">
      <c r="A5" t="s">
        <v>15</v>
      </c>
      <c r="B5" t="s">
        <v>72</v>
      </c>
      <c r="C5">
        <v>0.47</v>
      </c>
      <c r="D5" s="15">
        <v>0.35</v>
      </c>
      <c r="E5" s="15">
        <v>0.12</v>
      </c>
      <c r="F5">
        <v>0.18</v>
      </c>
      <c r="G5">
        <v>0.05</v>
      </c>
      <c r="H5">
        <v>0.05</v>
      </c>
      <c r="I5">
        <v>0.14000000000000001</v>
      </c>
      <c r="J5">
        <v>0.11</v>
      </c>
      <c r="K5">
        <v>0.55000000000000004</v>
      </c>
      <c r="L5">
        <v>15</v>
      </c>
      <c r="M5" t="s">
        <v>66</v>
      </c>
    </row>
    <row r="6" spans="1:13" x14ac:dyDescent="0.2">
      <c r="A6" t="s">
        <v>38</v>
      </c>
      <c r="B6" t="s">
        <v>71</v>
      </c>
      <c r="C6">
        <v>0.53</v>
      </c>
      <c r="D6" s="15">
        <v>0.4</v>
      </c>
      <c r="E6" s="15">
        <v>0.13</v>
      </c>
      <c r="F6">
        <v>0.09</v>
      </c>
      <c r="G6">
        <v>0.05</v>
      </c>
      <c r="H6">
        <v>0.04</v>
      </c>
      <c r="I6">
        <v>0.23</v>
      </c>
      <c r="J6">
        <v>7.0000000000000007E-2</v>
      </c>
      <c r="K6">
        <v>0.4</v>
      </c>
      <c r="L6">
        <v>25</v>
      </c>
      <c r="M6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Rolker</dc:creator>
  <cp:lastModifiedBy>Heike Rolker</cp:lastModifiedBy>
  <dcterms:created xsi:type="dcterms:W3CDTF">2023-10-02T10:08:54Z</dcterms:created>
  <dcterms:modified xsi:type="dcterms:W3CDTF">2023-10-17T19:25:01Z</dcterms:modified>
</cp:coreProperties>
</file>